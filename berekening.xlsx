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sponline-my.sharepoint.com/personal/pendula_ferdinand_wsp_com/Documents/Documenten/"/>
    </mc:Choice>
  </mc:AlternateContent>
  <xr:revisionPtr revIDLastSave="172" documentId="8_{851880CF-6746-457E-B3B4-0FF0B7686149}" xr6:coauthVersionLast="47" xr6:coauthVersionMax="47" xr10:uidLastSave="{1B3C0C99-4173-4316-B866-0FF06A1D0B98}"/>
  <bookViews>
    <workbookView xWindow="7335" yWindow="615" windowWidth="21600" windowHeight="11235" xr2:uid="{922571B9-D98A-4EEB-BF4F-16BD87498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D24" i="1" s="1"/>
  <c r="C5" i="1"/>
  <c r="B5" i="1"/>
  <c r="B8" i="1" s="1"/>
  <c r="B11" i="1" s="1"/>
  <c r="C16" i="1"/>
  <c r="C17" i="1" s="1"/>
  <c r="B16" i="1"/>
  <c r="B17" i="1" s="1"/>
  <c r="C8" i="1" l="1"/>
  <c r="C11" i="1" s="1"/>
  <c r="C12" i="1" l="1"/>
  <c r="B18" i="1"/>
  <c r="B24" i="1"/>
  <c r="C21" i="1" l="1"/>
  <c r="C22" i="1" s="1"/>
  <c r="D8" i="1" s="1"/>
  <c r="E8" i="1" s="1"/>
  <c r="C18" i="1"/>
  <c r="E18" i="1" s="1"/>
</calcChain>
</file>

<file path=xl/sharedStrings.xml><?xml version="1.0" encoding="utf-8"?>
<sst xmlns="http://schemas.openxmlformats.org/spreadsheetml/2006/main" count="17" uniqueCount="17">
  <si>
    <t>WSP</t>
  </si>
  <si>
    <t>AGV</t>
  </si>
  <si>
    <t xml:space="preserve">Uren per week </t>
  </si>
  <si>
    <t>Bruto maandsalaris</t>
  </si>
  <si>
    <t>Aantal vakantiedagen (bij 40 uur)</t>
  </si>
  <si>
    <t>Jaarinkomen</t>
  </si>
  <si>
    <t xml:space="preserve">werkweken </t>
  </si>
  <si>
    <t>werkuren per jaar</t>
  </si>
  <si>
    <t>volle werkdagen per jaar</t>
  </si>
  <si>
    <t>bruto dagloon</t>
  </si>
  <si>
    <t>Bruto jaarsalaris</t>
  </si>
  <si>
    <t>Extra (%)</t>
  </si>
  <si>
    <t>Extra (euro)</t>
  </si>
  <si>
    <t>Jaarinkomen obv 40 uur</t>
  </si>
  <si>
    <t>Kosten 13 extra vakantiedagen</t>
  </si>
  <si>
    <t>kosten vakantiedag</t>
  </si>
  <si>
    <t xml:space="preserve">Jaarinkomen min vakantiedagen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</si>
</sst>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%"/>
  </numFmts>
  <fonts count="3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WSP 2026">
      <a:dk1>
        <a:srgbClr val="000000"/>
      </a:dk1>
      <a:lt1>
        <a:srgbClr val="FFFFFF"/>
      </a:lt1>
      <a:dk2>
        <a:srgbClr val="404040"/>
      </a:dk2>
      <a:lt2>
        <a:srgbClr val="CCCCCC"/>
      </a:lt2>
      <a:accent1>
        <a:srgbClr val="FF372F"/>
      </a:accent1>
      <a:accent2>
        <a:srgbClr val="CC2126"/>
      </a:accent2>
      <a:accent3>
        <a:srgbClr val="680005"/>
      </a:accent3>
      <a:accent4>
        <a:srgbClr val="9A9A9A"/>
      </a:accent4>
      <a:accent5>
        <a:srgbClr val="CCCCCC"/>
      </a:accent5>
      <a:accent6>
        <a:srgbClr val="E1E1E1"/>
      </a:accent6>
      <a:hlink>
        <a:srgbClr val="000000"/>
      </a:hlink>
      <a:folHlink>
        <a:srgbClr val="404040"/>
      </a:folHlink>
    </a:clrScheme>
    <a:fontScheme name="WSP 202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custClrLst>
    <a:custClr name="Blue 1">
      <a:srgbClr val="1594FD"/>
    </a:custClr>
    <a:custClr name="Blue 2">
      <a:srgbClr val="162E76"/>
    </a:custClr>
    <a:custClr name="Orange 1">
      <a:srgbClr val="F35B05"/>
    </a:custClr>
    <a:custClr name="Custom Color 4">
      <a:srgbClr val="C33900"/>
    </a:custClr>
    <a:custClr name="Yellow 1">
      <a:srgbClr val="FFD10A"/>
    </a:custClr>
    <a:custClr name="Yellow 2">
      <a:srgbClr val="FEA513"/>
    </a:custClr>
    <a:custClr name="Green 1">
      <a:srgbClr val="496C1A"/>
    </a:custClr>
    <a:custClr name="Green 2">
      <a:srgbClr val="224807"/>
    </a:custClr>
    <a:custClr name="Brown 1">
      <a:srgbClr val="B16F4F"/>
    </a:custClr>
    <a:custClr name="Brown 2">
      <a:srgbClr val="4C2C00"/>
    </a:custClr>
  </a:custClrLst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CA9A-2C1C-431B-8C0D-01C2D0B3BEAE}">
  <dimension ref="A2:E24"/>
  <sheetViews>
    <sheetView tabSelected="1" workbookViewId="0">
      <selection activeCell="C25" sqref="C25"/>
    </sheetView>
  </sheetViews>
  <sheetFormatPr defaultRowHeight="12.75" x14ac:dyDescent="0.2"/>
  <cols>
    <col min="1" max="1" width="29.7109375" customWidth="1"/>
    <col min="3" max="3" width="13" bestFit="1" customWidth="1"/>
    <col min="4" max="4" width="11" bestFit="1" customWidth="1"/>
    <col min="5" max="6" width="12" bestFit="1" customWidth="1"/>
  </cols>
  <sheetData>
    <row r="2" spans="1:5" x14ac:dyDescent="0.2">
      <c r="B2" s="3" t="s">
        <v>0</v>
      </c>
      <c r="C2" s="3" t="s">
        <v>1</v>
      </c>
    </row>
    <row r="4" spans="1:5" x14ac:dyDescent="0.2">
      <c r="A4" t="s">
        <v>3</v>
      </c>
      <c r="B4">
        <v>4480</v>
      </c>
      <c r="C4">
        <v>5150</v>
      </c>
    </row>
    <row r="5" spans="1:5" x14ac:dyDescent="0.2">
      <c r="A5" t="s">
        <v>10</v>
      </c>
      <c r="B5">
        <f>B4*12</f>
        <v>53760</v>
      </c>
      <c r="C5">
        <f>C4*12</f>
        <v>61800</v>
      </c>
    </row>
    <row r="7" spans="1:5" x14ac:dyDescent="0.2">
      <c r="A7" t="s">
        <v>11</v>
      </c>
      <c r="B7">
        <v>0.14499999999999999</v>
      </c>
      <c r="C7">
        <v>0.21</v>
      </c>
    </row>
    <row r="8" spans="1:5" x14ac:dyDescent="0.2">
      <c r="A8" t="s">
        <v>12</v>
      </c>
      <c r="B8">
        <f>B5*B7</f>
        <v>7795.2</v>
      </c>
      <c r="C8">
        <f>C5*C7</f>
        <v>12978</v>
      </c>
      <c r="D8" s="4">
        <f>C22/C8</f>
        <v>0.31887936102495495</v>
      </c>
      <c r="E8" s="6">
        <f>D8*C7</f>
        <v>6.6964665815240534E-2</v>
      </c>
    </row>
    <row r="11" spans="1:5" x14ac:dyDescent="0.2">
      <c r="A11" t="s">
        <v>5</v>
      </c>
      <c r="B11">
        <f>(B5+B8)</f>
        <v>61555.199999999997</v>
      </c>
      <c r="C11">
        <f>(C5+C8)</f>
        <v>74778</v>
      </c>
    </row>
    <row r="12" spans="1:5" x14ac:dyDescent="0.2">
      <c r="A12" t="s">
        <v>13</v>
      </c>
      <c r="C12" s="5">
        <f>(B15*C11)/C15</f>
        <v>83086.666666666672</v>
      </c>
    </row>
    <row r="14" spans="1:5" x14ac:dyDescent="0.2">
      <c r="A14" t="s">
        <v>6</v>
      </c>
      <c r="B14">
        <v>52</v>
      </c>
      <c r="C14">
        <v>52</v>
      </c>
    </row>
    <row r="15" spans="1:5" x14ac:dyDescent="0.2">
      <c r="A15" t="s">
        <v>2</v>
      </c>
      <c r="B15">
        <v>40</v>
      </c>
      <c r="C15">
        <v>36</v>
      </c>
    </row>
    <row r="16" spans="1:5" x14ac:dyDescent="0.2">
      <c r="A16" t="s">
        <v>7</v>
      </c>
      <c r="B16">
        <f>B15*B14</f>
        <v>2080</v>
      </c>
      <c r="C16">
        <f>C15*C14</f>
        <v>1872</v>
      </c>
    </row>
    <row r="17" spans="1:5" x14ac:dyDescent="0.2">
      <c r="A17" t="s">
        <v>8</v>
      </c>
      <c r="B17">
        <f>B16/8</f>
        <v>260</v>
      </c>
      <c r="C17">
        <f>C16/8</f>
        <v>234</v>
      </c>
    </row>
    <row r="18" spans="1:5" x14ac:dyDescent="0.2">
      <c r="A18" t="s">
        <v>9</v>
      </c>
      <c r="B18">
        <f>B11/B17</f>
        <v>236.75076923076921</v>
      </c>
      <c r="C18">
        <f>C12/C17</f>
        <v>355.07122507122511</v>
      </c>
      <c r="E18">
        <f>C18*13</f>
        <v>4615.9259259259261</v>
      </c>
    </row>
    <row r="20" spans="1:5" x14ac:dyDescent="0.2">
      <c r="A20" t="s">
        <v>4</v>
      </c>
      <c r="B20">
        <v>34</v>
      </c>
      <c r="C20">
        <v>21</v>
      </c>
    </row>
    <row r="21" spans="1:5" x14ac:dyDescent="0.2">
      <c r="A21" t="s">
        <v>15</v>
      </c>
      <c r="C21">
        <f>C12/261</f>
        <v>318.33971902937424</v>
      </c>
    </row>
    <row r="22" spans="1:5" x14ac:dyDescent="0.2">
      <c r="A22" t="s">
        <v>14</v>
      </c>
      <c r="C22">
        <f>C21*13</f>
        <v>4138.4163473818653</v>
      </c>
    </row>
    <row r="23" spans="1:5" x14ac:dyDescent="0.2">
      <c r="A23" s="1"/>
      <c r="E23" s="2"/>
    </row>
    <row r="24" spans="1:5" x14ac:dyDescent="0.2">
      <c r="A24" t="s">
        <v>16</v>
      </c>
      <c r="B24">
        <f>B11</f>
        <v>61555.199999999997</v>
      </c>
      <c r="C24" s="5">
        <f>C11-C22</f>
        <v>70639.583652618137</v>
      </c>
      <c r="D24" s="5">
        <f>C24-B24</f>
        <v>9084.3836526181403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en-GB Blank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EA4AF4C6-A4E1-4DB9-9D0E-8B98FFC942A6}">
  <ds:schemaRefs/>
</ds:datastoreItem>
</file>

<file path=customXml/itemProps2.xml><?xml version="1.0" encoding="utf-8"?>
<ds:datastoreItem xmlns:ds="http://schemas.openxmlformats.org/officeDocument/2006/customXml" ds:itemID="{BAD1D147-72DB-425D-8153-41DB684C918C}">
  <ds:schemaRefs/>
</ds:datastoreItem>
</file>

<file path=docMetadata/LabelInfo.xml><?xml version="1.0" encoding="utf-8"?>
<clbl:labelList xmlns:clbl="http://schemas.microsoft.com/office/2020/mipLabelMetadata">
  <clbl:label id="{3d234255-e20f-4205-88a5-9658a402999b}" enabled="0" method="" siteId="{3d234255-e20f-4205-88a5-9658a40299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Ferdinand, Pendula</dc:creator>
  <cp:lastModifiedBy>Ferdinand, Pendula</cp:lastModifiedBy>
  <dcterms:created xsi:type="dcterms:W3CDTF">2026-03-23T12:25:53Z</dcterms:created>
  <dcterms:modified xsi:type="dcterms:W3CDTF">2026-04-09T14:34:58Z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wspglobal</vt:lpwstr>
  </property>
  <property fmtid="{D5CDD505-2E9C-101B-9397-08002B2CF9AE}" pid="3" name="TemplafyTemplateId">
    <vt:lpwstr>1365953867568120802</vt:lpwstr>
  </property>
  <property fmtid="{D5CDD505-2E9C-101B-9397-08002B2CF9AE}" pid="4" name="TemplafyUserProfileId">
    <vt:lpwstr>1365527256285315109</vt:lpwstr>
  </property>
  <property fmtid="{D5CDD505-2E9C-101B-9397-08002B2CF9AE}" pid="5" name="TemplafyLanguageCode">
    <vt:lpwstr>nl-NL</vt:lpwstr>
  </property>
  <property fmtid="{D5CDD505-2E9C-101B-9397-08002B2CF9AE}" pid="6" name="TemplafyFromBlank">
    <vt:bool>true</vt:bool>
  </property>
</Properties>
</file>